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4650" yWindow="0" windowWidth="22260" windowHeight="12645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1" i="1" l="1"/>
  <c r="B42" i="1"/>
  <c r="L52" i="1"/>
  <c r="L48" i="1"/>
  <c r="L49" i="1"/>
  <c r="L50" i="1"/>
  <c r="L51" i="1"/>
  <c r="L47" i="1"/>
  <c r="J48" i="1"/>
  <c r="J49" i="1"/>
  <c r="J50" i="1"/>
  <c r="J47" i="1"/>
  <c r="B39" i="1"/>
  <c r="L43" i="1"/>
  <c r="L39" i="1"/>
  <c r="L40" i="1"/>
  <c r="L41" i="1"/>
  <c r="L42" i="1"/>
  <c r="L38" i="1"/>
  <c r="B15" i="1"/>
  <c r="J8" i="1"/>
  <c r="J7" i="1"/>
  <c r="J6" i="1"/>
  <c r="J9" i="1" s="1"/>
  <c r="J10" i="1" s="1"/>
  <c r="B27" i="1"/>
  <c r="B21" i="1" l="1"/>
  <c r="B30" i="1" s="1"/>
  <c r="B33" i="1" s="1"/>
  <c r="B36" i="1" s="1"/>
  <c r="B12" i="1" l="1"/>
  <c r="D6" i="1" l="1"/>
  <c r="D7" i="1"/>
  <c r="D8" i="1"/>
  <c r="D9" i="1"/>
  <c r="D5" i="1"/>
</calcChain>
</file>

<file path=xl/sharedStrings.xml><?xml version="1.0" encoding="utf-8"?>
<sst xmlns="http://schemas.openxmlformats.org/spreadsheetml/2006/main" count="91" uniqueCount="78">
  <si>
    <t>ПРИ22-2 - Фролов Н.М. - Расчетная работа - Вариант 1</t>
  </si>
  <si>
    <t>Наименование функции</t>
  </si>
  <si>
    <t>Объем функции</t>
  </si>
  <si>
    <t>Количество</t>
  </si>
  <si>
    <t>Суммарный объем</t>
  </si>
  <si>
    <t>Создание и изменение схемы БД, контроль и восстановление целостности</t>
  </si>
  <si>
    <t>Расчет экономических показателей</t>
  </si>
  <si>
    <t>Реализация стандартного
графического интерфейса
(многооконное приложение)</t>
  </si>
  <si>
    <t>Ведение базы данных: чтение</t>
  </si>
  <si>
    <t>Ведение базы данных: модификация</t>
  </si>
  <si>
    <t>2. Определяем общий объем разрабатываемого ПС, как суммарный по функциям</t>
  </si>
  <si>
    <t>1. Определение объема каждой функции расрабатываемого ПС "Комбанк"</t>
  </si>
  <si>
    <t>V0</t>
  </si>
  <si>
    <t>Строк исходного текста</t>
  </si>
  <si>
    <t>3. Определяем для этого объема значение нормы времени в чел/дн на разработку ПС</t>
  </si>
  <si>
    <t>Норм</t>
  </si>
  <si>
    <t>чел/дн</t>
  </si>
  <si>
    <t>5. По известной формуле найдем базовую трудоемкость разработки ПС</t>
  </si>
  <si>
    <t>Кслож</t>
  </si>
  <si>
    <t>Тб</t>
  </si>
  <si>
    <t>Кн</t>
  </si>
  <si>
    <t>разница в нормах</t>
  </si>
  <si>
    <t>разница в объемах</t>
  </si>
  <si>
    <t>отклонение от факта меньшего объема</t>
  </si>
  <si>
    <t>прирост нормы</t>
  </si>
  <si>
    <t>итого</t>
  </si>
  <si>
    <t>4. Определяем коэффициент сложности ПС (Высокая)</t>
  </si>
  <si>
    <t>6. Определим коэффициент новизны (код степени новизны Б-\+)</t>
  </si>
  <si>
    <t>Повторное использование (клик)</t>
  </si>
  <si>
    <t>Производительность (КПроизв)</t>
  </si>
  <si>
    <t>Уровень документации (КДокум)</t>
  </si>
  <si>
    <t>средняя</t>
  </si>
  <si>
    <t>Надежность ПС (Кнад)</t>
  </si>
  <si>
    <t>повышенная</t>
  </si>
  <si>
    <t>средний</t>
  </si>
  <si>
    <t>высокий</t>
  </si>
  <si>
    <t>7. Определим коэффициент качества (Ккач)</t>
  </si>
  <si>
    <t>Ккач</t>
  </si>
  <si>
    <t>8. Найдем общую трудоемкость разработки</t>
  </si>
  <si>
    <t>То</t>
  </si>
  <si>
    <t>9. Определим трудоемкость с учетом условий разработки ПС</t>
  </si>
  <si>
    <t>10. Определим трудоемкость с учетом квалификации разработчика</t>
  </si>
  <si>
    <t>11. Определим трудоемкость каждой отдельной стадии разработки</t>
  </si>
  <si>
    <t>12. Определим необходимое количество персонала на каждой стадии</t>
  </si>
  <si>
    <t>Тур</t>
  </si>
  <si>
    <t>Тр</t>
  </si>
  <si>
    <t>Сумма трудоемкостей</t>
  </si>
  <si>
    <t>Итого персонала</t>
  </si>
  <si>
    <t>Уровень опыта</t>
  </si>
  <si>
    <t>очень высокий</t>
  </si>
  <si>
    <t>Кср. упр. жиз.</t>
  </si>
  <si>
    <t>Кср. разр.</t>
  </si>
  <si>
    <t>системы программир. на основе СУБД типа FoxPro</t>
  </si>
  <si>
    <t>Уровень квалификации</t>
  </si>
  <si>
    <t>Коэф. Удельного веса</t>
  </si>
  <si>
    <t>Анализ</t>
  </si>
  <si>
    <t>Проектирование</t>
  </si>
  <si>
    <t>Программирование</t>
  </si>
  <si>
    <t>Тестирование</t>
  </si>
  <si>
    <t>Внедрение</t>
  </si>
  <si>
    <t>Трудоемкость стадий</t>
  </si>
  <si>
    <t>L1</t>
  </si>
  <si>
    <t>L2</t>
  </si>
  <si>
    <t>L3</t>
  </si>
  <si>
    <t>L4</t>
  </si>
  <si>
    <t>L5</t>
  </si>
  <si>
    <t>T1</t>
  </si>
  <si>
    <t>T2</t>
  </si>
  <si>
    <t>T3</t>
  </si>
  <si>
    <t>T4</t>
  </si>
  <si>
    <t>T5</t>
  </si>
  <si>
    <t>Итого</t>
  </si>
  <si>
    <t>Стадия</t>
  </si>
  <si>
    <t>Срок, мес.</t>
  </si>
  <si>
    <t>Персонал</t>
  </si>
  <si>
    <t>Рабочие дни</t>
  </si>
  <si>
    <t>Округление</t>
  </si>
  <si>
    <t>чел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</si>
</sst>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/>
    <xf numFmtId="0" fontId="0" fillId="3" borderId="1" xfId="0" applyFill="1" applyBorder="1" applyAlignment="1">
      <alignment wrapText="1"/>
    </xf>
    <xf numFmtId="0" fontId="0" fillId="6" borderId="1" xfId="0" applyFill="1" applyBorder="1"/>
    <xf numFmtId="0" fontId="0" fillId="0" borderId="0" xfId="0" applyFill="1"/>
    <xf numFmtId="0" fontId="0" fillId="0" borderId="0" xfId="0" applyFill="1" applyBorder="1"/>
    <xf numFmtId="0" fontId="0" fillId="0" borderId="1" xfId="0" applyBorder="1"/>
    <xf numFmtId="0" fontId="0" fillId="7" borderId="1" xfId="0" applyFill="1" applyBorder="1"/>
    <xf numFmtId="0" fontId="0" fillId="0" borderId="0" xfId="0" applyFill="1" applyBorder="1" applyAlignment="1"/>
    <xf numFmtId="0" fontId="2" fillId="3" borderId="5" xfId="0" applyFont="1" applyFill="1" applyBorder="1"/>
    <xf numFmtId="0" fontId="2" fillId="5" borderId="5" xfId="0" applyFont="1" applyFill="1" applyBorder="1"/>
    <xf numFmtId="0" fontId="2" fillId="7" borderId="1" xfId="0" applyFont="1" applyFill="1" applyBorder="1"/>
    <xf numFmtId="0" fontId="2" fillId="5" borderId="1" xfId="0" applyFont="1" applyFill="1" applyBorder="1"/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2" fillId="5" borderId="1" xfId="0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right" vertical="center"/>
    </xf>
    <xf numFmtId="0" fontId="0" fillId="8" borderId="1" xfId="0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7" borderId="2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0" fontId="0" fillId="7" borderId="1" xfId="0" applyFill="1" applyBorder="1" applyAlignment="1">
      <alignment horizontal="left" wrapText="1"/>
    </xf>
    <xf numFmtId="0" fontId="0" fillId="7" borderId="1" xfId="0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7" borderId="1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2" borderId="1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3" xfId="0" applyFill="1" applyBorder="1" applyAlignment="1">
      <alignment horizontal="center"/>
    </xf>
    <xf numFmtId="0" fontId="0" fillId="4" borderId="2" xfId="0" applyFill="1" applyBorder="1" applyAlignment="1">
      <alignment horizontal="left"/>
    </xf>
    <xf numFmtId="0" fontId="0" fillId="4" borderId="6" xfId="0" applyFill="1" applyBorder="1" applyAlignment="1">
      <alignment horizontal="left"/>
    </xf>
    <xf numFmtId="0" fontId="0" fillId="4" borderId="3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333375</xdr:colOff>
      <xdr:row>0</xdr:row>
      <xdr:rowOff>22412</xdr:rowOff>
    </xdr:from>
    <xdr:to>
      <xdr:col>19</xdr:col>
      <xdr:colOff>492159</xdr:colOff>
      <xdr:row>17</xdr:row>
      <xdr:rowOff>125505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446934" y="22412"/>
          <a:ext cx="4394607" cy="3733799"/>
        </a:xfrm>
        <a:prstGeom prst="rect">
          <a:avLst/>
        </a:prstGeom>
      </xdr:spPr>
    </xdr:pic>
    <xdr:clientData/>
  </xdr:twoCellAnchor>
  <xdr:twoCellAnchor editAs="oneCell">
    <xdr:from>
      <xdr:col>12</xdr:col>
      <xdr:colOff>307731</xdr:colOff>
      <xdr:row>17</xdr:row>
      <xdr:rowOff>121601</xdr:rowOff>
    </xdr:from>
    <xdr:to>
      <xdr:col>19</xdr:col>
      <xdr:colOff>368113</xdr:colOff>
      <xdr:row>34</xdr:row>
      <xdr:rowOff>15129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21290" y="3752307"/>
          <a:ext cx="4296205" cy="3748351"/>
        </a:xfrm>
        <a:prstGeom prst="rect">
          <a:avLst/>
        </a:prstGeom>
      </xdr:spPr>
    </xdr:pic>
    <xdr:clientData/>
  </xdr:twoCellAnchor>
  <xdr:twoCellAnchor editAs="oneCell">
    <xdr:from>
      <xdr:col>12</xdr:col>
      <xdr:colOff>377637</xdr:colOff>
      <xdr:row>33</xdr:row>
      <xdr:rowOff>189940</xdr:rowOff>
    </xdr:from>
    <xdr:to>
      <xdr:col>19</xdr:col>
      <xdr:colOff>384104</xdr:colOff>
      <xdr:row>37</xdr:row>
      <xdr:rowOff>170890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491196" y="7484969"/>
          <a:ext cx="4242290" cy="742950"/>
        </a:xfrm>
        <a:prstGeom prst="rect">
          <a:avLst/>
        </a:prstGeom>
      </xdr:spPr>
    </xdr:pic>
    <xdr:clientData/>
  </xdr:twoCellAnchor>
  <xdr:twoCellAnchor editAs="oneCell">
    <xdr:from>
      <xdr:col>6</xdr:col>
      <xdr:colOff>590551</xdr:colOff>
      <xdr:row>12</xdr:row>
      <xdr:rowOff>9525</xdr:rowOff>
    </xdr:from>
    <xdr:to>
      <xdr:col>8</xdr:col>
      <xdr:colOff>1157007</xdr:colOff>
      <xdr:row>14</xdr:row>
      <xdr:rowOff>41125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101169" y="3416113"/>
          <a:ext cx="2482662" cy="412600"/>
        </a:xfrm>
        <a:prstGeom prst="rect">
          <a:avLst/>
        </a:prstGeom>
      </xdr:spPr>
    </xdr:pic>
    <xdr:clientData/>
  </xdr:twoCellAnchor>
  <xdr:twoCellAnchor editAs="oneCell">
    <xdr:from>
      <xdr:col>6</xdr:col>
      <xdr:colOff>590550</xdr:colOff>
      <xdr:row>14</xdr:row>
      <xdr:rowOff>29397</xdr:rowOff>
    </xdr:from>
    <xdr:to>
      <xdr:col>8</xdr:col>
      <xdr:colOff>1120588</xdr:colOff>
      <xdr:row>15</xdr:row>
      <xdr:rowOff>95250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101168" y="3088603"/>
          <a:ext cx="2446244" cy="256353"/>
        </a:xfrm>
        <a:prstGeom prst="rect">
          <a:avLst/>
        </a:prstGeom>
      </xdr:spPr>
    </xdr:pic>
    <xdr:clientData/>
  </xdr:twoCellAnchor>
  <xdr:twoCellAnchor>
    <xdr:from>
      <xdr:col>5</xdr:col>
      <xdr:colOff>9525</xdr:colOff>
      <xdr:row>13</xdr:row>
      <xdr:rowOff>25325</xdr:rowOff>
    </xdr:from>
    <xdr:to>
      <xdr:col>6</xdr:col>
      <xdr:colOff>590551</xdr:colOff>
      <xdr:row>13</xdr:row>
      <xdr:rowOff>76200</xdr:rowOff>
    </xdr:to>
    <xdr:cxnSp macro="">
      <xdr:nvCxnSpPr>
        <xdr:cNvPr id="8" name="Прямая со стрелкой 7"/>
        <xdr:cNvCxnSpPr>
          <a:endCxn id="5" idx="1"/>
        </xdr:cNvCxnSpPr>
      </xdr:nvCxnSpPr>
      <xdr:spPr>
        <a:xfrm flipV="1">
          <a:off x="5915025" y="3622413"/>
          <a:ext cx="1186144" cy="5087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8</xdr:col>
      <xdr:colOff>431147</xdr:colOff>
      <xdr:row>10</xdr:row>
      <xdr:rowOff>0</xdr:rowOff>
    </xdr:from>
    <xdr:to>
      <xdr:col>8</xdr:col>
      <xdr:colOff>448235</xdr:colOff>
      <xdr:row>12</xdr:row>
      <xdr:rowOff>9525</xdr:rowOff>
    </xdr:to>
    <xdr:cxnSp macro="">
      <xdr:nvCxnSpPr>
        <xdr:cNvPr id="10" name="Прямая со стрелкой 9"/>
        <xdr:cNvCxnSpPr>
          <a:stCxn id="5" idx="0"/>
        </xdr:cNvCxnSpPr>
      </xdr:nvCxnSpPr>
      <xdr:spPr>
        <a:xfrm flipV="1">
          <a:off x="8342500" y="3025588"/>
          <a:ext cx="17088" cy="390525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1</xdr:col>
      <xdr:colOff>1042147</xdr:colOff>
      <xdr:row>21</xdr:row>
      <xdr:rowOff>134471</xdr:rowOff>
    </xdr:from>
    <xdr:to>
      <xdr:col>7</xdr:col>
      <xdr:colOff>0</xdr:colOff>
      <xdr:row>25</xdr:row>
      <xdr:rowOff>112059</xdr:rowOff>
    </xdr:to>
    <xdr:cxnSp macro="">
      <xdr:nvCxnSpPr>
        <xdr:cNvPr id="14" name="Прямая со стрелкой 13"/>
        <xdr:cNvCxnSpPr/>
      </xdr:nvCxnSpPr>
      <xdr:spPr>
        <a:xfrm flipV="1">
          <a:off x="3529853" y="5255559"/>
          <a:ext cx="3585882" cy="73958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11206</xdr:colOff>
      <xdr:row>28</xdr:row>
      <xdr:rowOff>78441</xdr:rowOff>
    </xdr:from>
    <xdr:to>
      <xdr:col>7</xdr:col>
      <xdr:colOff>11206</xdr:colOff>
      <xdr:row>31</xdr:row>
      <xdr:rowOff>112059</xdr:rowOff>
    </xdr:to>
    <xdr:cxnSp macro="">
      <xdr:nvCxnSpPr>
        <xdr:cNvPr id="16" name="Прямая со стрелкой 15"/>
        <xdr:cNvCxnSpPr/>
      </xdr:nvCxnSpPr>
      <xdr:spPr>
        <a:xfrm flipV="1">
          <a:off x="4325471" y="6533029"/>
          <a:ext cx="2801470" cy="605118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11206</xdr:colOff>
      <xdr:row>32</xdr:row>
      <xdr:rowOff>78441</xdr:rowOff>
    </xdr:from>
    <xdr:to>
      <xdr:col>7</xdr:col>
      <xdr:colOff>0</xdr:colOff>
      <xdr:row>34</xdr:row>
      <xdr:rowOff>78441</xdr:rowOff>
    </xdr:to>
    <xdr:cxnSp macro="">
      <xdr:nvCxnSpPr>
        <xdr:cNvPr id="18" name="Прямая со стрелкой 17"/>
        <xdr:cNvCxnSpPr/>
      </xdr:nvCxnSpPr>
      <xdr:spPr>
        <a:xfrm flipV="1">
          <a:off x="4325471" y="7911353"/>
          <a:ext cx="2790264" cy="3810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0</xdr:colOff>
      <xdr:row>36</xdr:row>
      <xdr:rowOff>56030</xdr:rowOff>
    </xdr:from>
    <xdr:to>
      <xdr:col>7</xdr:col>
      <xdr:colOff>11206</xdr:colOff>
      <xdr:row>37</xdr:row>
      <xdr:rowOff>78442</xdr:rowOff>
    </xdr:to>
    <xdr:cxnSp macro="">
      <xdr:nvCxnSpPr>
        <xdr:cNvPr id="22" name="Прямая со стрелкой 21"/>
        <xdr:cNvCxnSpPr/>
      </xdr:nvCxnSpPr>
      <xdr:spPr>
        <a:xfrm flipV="1">
          <a:off x="4314265" y="7922559"/>
          <a:ext cx="2812676" cy="212912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3</xdr:col>
      <xdr:colOff>11206</xdr:colOff>
      <xdr:row>40</xdr:row>
      <xdr:rowOff>78442</xdr:rowOff>
    </xdr:from>
    <xdr:to>
      <xdr:col>7</xdr:col>
      <xdr:colOff>0</xdr:colOff>
      <xdr:row>45</xdr:row>
      <xdr:rowOff>67236</xdr:rowOff>
    </xdr:to>
    <xdr:cxnSp macro="">
      <xdr:nvCxnSpPr>
        <xdr:cNvPr id="27" name="Прямая со стрелкой 26"/>
        <xdr:cNvCxnSpPr/>
      </xdr:nvCxnSpPr>
      <xdr:spPr>
        <a:xfrm>
          <a:off x="4325471" y="8706971"/>
          <a:ext cx="2790264" cy="941294"/>
        </a:xfrm>
        <a:prstGeom prst="straightConnector1">
          <a:avLst/>
        </a:prstGeom>
        <a:ln>
          <a:tailEnd type="triangle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zoomScale="85" zoomScaleNormal="85" workbookViewId="0">
      <selection activeCell="G3" sqref="G3"/>
    </sheetView>
  </sheetViews>
  <sheetFormatPr defaultRowHeight="15" x14ac:dyDescent="0.25"/>
  <cols>
    <col min="1" max="1" width="37.28515625" customWidth="1"/>
    <col min="2" max="2" width="15.7109375" bestFit="1" customWidth="1"/>
    <col min="3" max="3" width="11.5703125" bestFit="1" customWidth="1"/>
    <col min="4" max="4" width="11.140625" customWidth="1"/>
    <col min="5" max="5" width="12.7109375" customWidth="1"/>
    <col min="8" max="9" width="19.7109375" customWidth="1"/>
    <col min="10" max="10" width="14.7109375" customWidth="1"/>
    <col min="12" max="12" width="11.7109375" customWidth="1"/>
  </cols>
  <sheetData>
    <row r="1" spans="1:14" x14ac:dyDescent="0.25">
      <c r="A1" s="38" t="s">
        <v>0</v>
      </c>
      <c r="B1" s="38"/>
      <c r="C1" s="38"/>
      <c r="D1" s="38"/>
      <c r="E1" s="38"/>
      <c r="F1" s="38"/>
    </row>
    <row r="3" spans="1:14" x14ac:dyDescent="0.25">
      <c r="A3" s="41" t="s">
        <v>11</v>
      </c>
      <c r="B3" s="41"/>
      <c r="C3" s="41"/>
      <c r="D3" s="41"/>
      <c r="E3" s="41"/>
      <c r="F3" s="2"/>
      <c r="G3" s="2"/>
      <c r="H3" s="2"/>
    </row>
    <row r="4" spans="1:14" x14ac:dyDescent="0.25">
      <c r="A4" s="3" t="s">
        <v>1</v>
      </c>
      <c r="B4" s="4" t="s">
        <v>2</v>
      </c>
      <c r="C4" s="4" t="s">
        <v>3</v>
      </c>
      <c r="D4" s="42" t="s">
        <v>4</v>
      </c>
      <c r="E4" s="43"/>
    </row>
    <row r="5" spans="1:14" ht="45" x14ac:dyDescent="0.25">
      <c r="A5" s="3" t="s">
        <v>7</v>
      </c>
      <c r="B5" s="1">
        <v>5000</v>
      </c>
      <c r="C5" s="1">
        <v>1</v>
      </c>
      <c r="D5" s="36">
        <f>C5*B5</f>
        <v>5000</v>
      </c>
      <c r="E5" s="37"/>
    </row>
    <row r="6" spans="1:14" ht="15.75" customHeight="1" x14ac:dyDescent="0.25">
      <c r="A6" s="3" t="s">
        <v>5</v>
      </c>
      <c r="B6" s="1">
        <v>900</v>
      </c>
      <c r="C6" s="1">
        <v>1</v>
      </c>
      <c r="D6" s="36">
        <f t="shared" ref="D6:D9" si="0">C6*B6</f>
        <v>900</v>
      </c>
      <c r="E6" s="37"/>
      <c r="H6" s="27" t="s">
        <v>21</v>
      </c>
      <c r="I6" s="28"/>
      <c r="J6" s="7">
        <f>607-525</f>
        <v>82</v>
      </c>
    </row>
    <row r="7" spans="1:14" x14ac:dyDescent="0.25">
      <c r="A7" s="3" t="s">
        <v>8</v>
      </c>
      <c r="B7" s="1">
        <v>15</v>
      </c>
      <c r="C7" s="1">
        <v>20</v>
      </c>
      <c r="D7" s="36">
        <f t="shared" si="0"/>
        <v>300</v>
      </c>
      <c r="E7" s="37"/>
      <c r="H7" s="27" t="s">
        <v>22</v>
      </c>
      <c r="I7" s="28"/>
      <c r="J7" s="7">
        <f>8-7</f>
        <v>1</v>
      </c>
      <c r="L7" s="6"/>
      <c r="M7" s="6"/>
      <c r="N7" s="6"/>
    </row>
    <row r="8" spans="1:14" x14ac:dyDescent="0.25">
      <c r="A8" s="3" t="s">
        <v>9</v>
      </c>
      <c r="B8" s="1">
        <v>10</v>
      </c>
      <c r="C8" s="1">
        <v>20</v>
      </c>
      <c r="D8" s="36">
        <f t="shared" si="0"/>
        <v>200</v>
      </c>
      <c r="E8" s="37"/>
      <c r="H8" s="29" t="s">
        <v>23</v>
      </c>
      <c r="I8" s="29"/>
      <c r="J8" s="7">
        <f>7.9-7</f>
        <v>0.90000000000000036</v>
      </c>
      <c r="L8" s="6"/>
      <c r="M8" s="6"/>
      <c r="N8" s="6"/>
    </row>
    <row r="9" spans="1:14" x14ac:dyDescent="0.25">
      <c r="A9" s="3" t="s">
        <v>6</v>
      </c>
      <c r="B9" s="1">
        <v>30</v>
      </c>
      <c r="C9" s="1">
        <v>50</v>
      </c>
      <c r="D9" s="36">
        <f t="shared" si="0"/>
        <v>1500</v>
      </c>
      <c r="E9" s="37"/>
      <c r="H9" s="27" t="s">
        <v>24</v>
      </c>
      <c r="I9" s="28"/>
      <c r="J9" s="7">
        <f>(J6/J7)*J8</f>
        <v>73.800000000000026</v>
      </c>
      <c r="L9" s="34"/>
      <c r="M9" s="34"/>
      <c r="N9" s="6"/>
    </row>
    <row r="10" spans="1:14" x14ac:dyDescent="0.25">
      <c r="H10" s="30" t="s">
        <v>25</v>
      </c>
      <c r="I10" s="30"/>
      <c r="J10" s="7">
        <f>525+J9</f>
        <v>598.80000000000007</v>
      </c>
      <c r="L10" s="6"/>
      <c r="M10" s="6"/>
      <c r="N10" s="6"/>
    </row>
    <row r="11" spans="1:14" x14ac:dyDescent="0.25">
      <c r="A11" s="32" t="s">
        <v>10</v>
      </c>
      <c r="B11" s="32"/>
      <c r="C11" s="32"/>
      <c r="D11" s="32"/>
      <c r="E11" s="32"/>
      <c r="L11" s="35"/>
      <c r="M11" s="35"/>
      <c r="N11" s="6"/>
    </row>
    <row r="12" spans="1:14" x14ac:dyDescent="0.25">
      <c r="A12" s="10" t="s">
        <v>12</v>
      </c>
      <c r="B12" s="11">
        <f>SUM(D5:E9)</f>
        <v>7900</v>
      </c>
      <c r="C12" s="39" t="s">
        <v>13</v>
      </c>
      <c r="D12" s="40"/>
    </row>
    <row r="13" spans="1:14" x14ac:dyDescent="0.25">
      <c r="A13" s="6"/>
      <c r="B13" s="6"/>
      <c r="C13" s="5"/>
    </row>
    <row r="14" spans="1:14" x14ac:dyDescent="0.25">
      <c r="A14" s="44" t="s">
        <v>14</v>
      </c>
      <c r="B14" s="45"/>
      <c r="C14" s="45"/>
      <c r="D14" s="45"/>
      <c r="E14" s="46"/>
    </row>
    <row r="15" spans="1:14" x14ac:dyDescent="0.25">
      <c r="A15" s="12" t="s">
        <v>15</v>
      </c>
      <c r="B15" s="13">
        <f>_xlfn.CEILING.MATH(J10)</f>
        <v>599</v>
      </c>
      <c r="C15" t="s">
        <v>16</v>
      </c>
    </row>
    <row r="17" spans="1:11" x14ac:dyDescent="0.25">
      <c r="A17" s="32" t="s">
        <v>26</v>
      </c>
      <c r="B17" s="32"/>
      <c r="C17" s="32"/>
      <c r="D17" s="32"/>
      <c r="E17" s="32"/>
      <c r="F17" s="9"/>
    </row>
    <row r="18" spans="1:11" x14ac:dyDescent="0.25">
      <c r="A18" s="12" t="s">
        <v>18</v>
      </c>
      <c r="B18" s="13">
        <v>1.17</v>
      </c>
    </row>
    <row r="20" spans="1:11" x14ac:dyDescent="0.25">
      <c r="A20" s="32" t="s">
        <v>17</v>
      </c>
      <c r="B20" s="32"/>
      <c r="C20" s="32"/>
      <c r="D20" s="32"/>
    </row>
    <row r="21" spans="1:11" x14ac:dyDescent="0.25">
      <c r="A21" s="12" t="s">
        <v>19</v>
      </c>
      <c r="B21" s="13">
        <f>B15*B18</f>
        <v>700.82999999999993</v>
      </c>
      <c r="C21" t="s">
        <v>16</v>
      </c>
    </row>
    <row r="22" spans="1:11" x14ac:dyDescent="0.25">
      <c r="H22" s="30" t="s">
        <v>32</v>
      </c>
      <c r="I22" s="30"/>
      <c r="J22" s="7" t="s">
        <v>31</v>
      </c>
      <c r="K22" s="7">
        <v>1</v>
      </c>
    </row>
    <row r="23" spans="1:11" x14ac:dyDescent="0.25">
      <c r="A23" s="32" t="s">
        <v>27</v>
      </c>
      <c r="B23" s="32"/>
      <c r="C23" s="32"/>
      <c r="D23" s="32"/>
      <c r="H23" s="30" t="s">
        <v>29</v>
      </c>
      <c r="I23" s="30"/>
      <c r="J23" s="7" t="s">
        <v>33</v>
      </c>
      <c r="K23" s="7">
        <v>1.2</v>
      </c>
    </row>
    <row r="24" spans="1:11" x14ac:dyDescent="0.25">
      <c r="A24" s="12" t="s">
        <v>20</v>
      </c>
      <c r="B24" s="13">
        <v>0.9</v>
      </c>
      <c r="H24" s="30" t="s">
        <v>30</v>
      </c>
      <c r="I24" s="30"/>
      <c r="J24" s="7" t="s">
        <v>34</v>
      </c>
      <c r="K24" s="7">
        <v>1</v>
      </c>
    </row>
    <row r="25" spans="1:11" x14ac:dyDescent="0.25">
      <c r="H25" s="30" t="s">
        <v>28</v>
      </c>
      <c r="I25" s="30"/>
      <c r="J25" s="7" t="s">
        <v>35</v>
      </c>
      <c r="K25" s="7">
        <v>1.07</v>
      </c>
    </row>
    <row r="26" spans="1:11" x14ac:dyDescent="0.25">
      <c r="A26" s="32" t="s">
        <v>36</v>
      </c>
      <c r="B26" s="32"/>
    </row>
    <row r="27" spans="1:11" x14ac:dyDescent="0.25">
      <c r="A27" s="12" t="s">
        <v>37</v>
      </c>
      <c r="B27" s="13">
        <f>K22*K23*K24*K25</f>
        <v>1.284</v>
      </c>
    </row>
    <row r="29" spans="1:11" x14ac:dyDescent="0.25">
      <c r="A29" s="32" t="s">
        <v>38</v>
      </c>
      <c r="B29" s="32"/>
      <c r="C29" s="32"/>
      <c r="H29" s="30" t="s">
        <v>50</v>
      </c>
      <c r="I29" s="30"/>
      <c r="J29" s="7" t="s">
        <v>35</v>
      </c>
      <c r="K29" s="7">
        <v>0.9</v>
      </c>
    </row>
    <row r="30" spans="1:11" ht="63.75" customHeight="1" x14ac:dyDescent="0.25">
      <c r="A30" s="17" t="s">
        <v>39</v>
      </c>
      <c r="B30" s="16">
        <f>B27*B24*B21</f>
        <v>809.87914799999987</v>
      </c>
      <c r="C30" s="15" t="s">
        <v>16</v>
      </c>
      <c r="H30" s="33" t="s">
        <v>51</v>
      </c>
      <c r="I30" s="33"/>
      <c r="J30" s="14" t="s">
        <v>52</v>
      </c>
      <c r="K30" s="19">
        <v>0.35</v>
      </c>
    </row>
    <row r="32" spans="1:11" x14ac:dyDescent="0.25">
      <c r="A32" s="32" t="s">
        <v>40</v>
      </c>
      <c r="B32" s="32"/>
      <c r="C32" s="32"/>
    </row>
    <row r="33" spans="1:12" x14ac:dyDescent="0.25">
      <c r="A33" s="12" t="s">
        <v>44</v>
      </c>
      <c r="B33" s="13">
        <f>K30*K29*B30</f>
        <v>255.11193161999995</v>
      </c>
      <c r="C33" s="15" t="s">
        <v>16</v>
      </c>
      <c r="H33" s="30" t="s">
        <v>53</v>
      </c>
      <c r="I33" s="30"/>
      <c r="J33" s="7" t="s">
        <v>34</v>
      </c>
      <c r="K33" s="7">
        <v>1</v>
      </c>
    </row>
    <row r="34" spans="1:12" x14ac:dyDescent="0.25">
      <c r="H34" s="30" t="s">
        <v>48</v>
      </c>
      <c r="I34" s="30"/>
      <c r="J34" s="7" t="s">
        <v>49</v>
      </c>
      <c r="K34" s="7">
        <v>0.7</v>
      </c>
    </row>
    <row r="35" spans="1:12" x14ac:dyDescent="0.25">
      <c r="A35" s="32" t="s">
        <v>41</v>
      </c>
      <c r="B35" s="32"/>
      <c r="C35" s="32"/>
    </row>
    <row r="36" spans="1:12" x14ac:dyDescent="0.25">
      <c r="A36" s="12" t="s">
        <v>45</v>
      </c>
      <c r="B36" s="13">
        <f>B33*K33*K34</f>
        <v>178.57835213399994</v>
      </c>
      <c r="C36" s="15" t="s">
        <v>16</v>
      </c>
    </row>
    <row r="37" spans="1:12" x14ac:dyDescent="0.25">
      <c r="H37" s="31" t="s">
        <v>54</v>
      </c>
      <c r="I37" s="31"/>
      <c r="J37" s="31"/>
      <c r="K37" s="31" t="s">
        <v>60</v>
      </c>
      <c r="L37" s="31"/>
    </row>
    <row r="38" spans="1:12" x14ac:dyDescent="0.25">
      <c r="A38" s="32" t="s">
        <v>42</v>
      </c>
      <c r="B38" s="32"/>
      <c r="C38" s="32"/>
      <c r="H38" s="8" t="s">
        <v>55</v>
      </c>
      <c r="I38" s="18" t="s">
        <v>61</v>
      </c>
      <c r="J38" s="18">
        <v>0.3</v>
      </c>
      <c r="K38" s="18" t="s">
        <v>66</v>
      </c>
      <c r="L38" s="18">
        <f>$B$36*J38</f>
        <v>53.573505640199983</v>
      </c>
    </row>
    <row r="39" spans="1:12" x14ac:dyDescent="0.25">
      <c r="A39" s="12" t="s">
        <v>46</v>
      </c>
      <c r="B39" s="13">
        <f>L43</f>
        <v>178.57835213399994</v>
      </c>
      <c r="C39" s="15" t="s">
        <v>16</v>
      </c>
      <c r="H39" s="8" t="s">
        <v>56</v>
      </c>
      <c r="I39" s="18" t="s">
        <v>62</v>
      </c>
      <c r="J39" s="18">
        <v>0.3</v>
      </c>
      <c r="K39" s="18" t="s">
        <v>67</v>
      </c>
      <c r="L39" s="18">
        <f t="shared" ref="L39:L42" si="1">$B$36*J39</f>
        <v>53.573505640199983</v>
      </c>
    </row>
    <row r="40" spans="1:12" x14ac:dyDescent="0.25">
      <c r="H40" s="8" t="s">
        <v>57</v>
      </c>
      <c r="I40" s="18" t="s">
        <v>63</v>
      </c>
      <c r="J40" s="18">
        <v>0.15</v>
      </c>
      <c r="K40" s="18" t="s">
        <v>68</v>
      </c>
      <c r="L40" s="18">
        <f t="shared" si="1"/>
        <v>26.786752820099991</v>
      </c>
    </row>
    <row r="41" spans="1:12" x14ac:dyDescent="0.25">
      <c r="A41" s="32" t="s">
        <v>43</v>
      </c>
      <c r="B41" s="32"/>
      <c r="C41" s="32"/>
      <c r="H41" s="8" t="s">
        <v>58</v>
      </c>
      <c r="I41" s="18" t="s">
        <v>64</v>
      </c>
      <c r="J41" s="18">
        <v>0.2</v>
      </c>
      <c r="K41" s="18" t="s">
        <v>69</v>
      </c>
      <c r="L41" s="18">
        <f t="shared" si="1"/>
        <v>35.715670426799988</v>
      </c>
    </row>
    <row r="42" spans="1:12" x14ac:dyDescent="0.25">
      <c r="A42" s="12" t="s">
        <v>47</v>
      </c>
      <c r="B42" s="22">
        <f>L52</f>
        <v>5</v>
      </c>
      <c r="C42" s="15" t="s">
        <v>77</v>
      </c>
      <c r="H42" s="8" t="s">
        <v>59</v>
      </c>
      <c r="I42" s="18" t="s">
        <v>65</v>
      </c>
      <c r="J42" s="18">
        <v>0.05</v>
      </c>
      <c r="K42" s="18" t="s">
        <v>70</v>
      </c>
      <c r="L42" s="18">
        <f t="shared" si="1"/>
        <v>8.9289176066999971</v>
      </c>
    </row>
    <row r="43" spans="1:12" x14ac:dyDescent="0.25">
      <c r="H43" s="23" t="s">
        <v>71</v>
      </c>
      <c r="I43" s="23"/>
      <c r="J43" s="23"/>
      <c r="K43" s="23"/>
      <c r="L43" s="7">
        <f>SUM(L38:L42)</f>
        <v>178.57835213399994</v>
      </c>
    </row>
    <row r="46" spans="1:12" ht="30" x14ac:dyDescent="0.25">
      <c r="H46" s="20" t="s">
        <v>72</v>
      </c>
      <c r="I46" s="20" t="s">
        <v>73</v>
      </c>
      <c r="J46" s="20" t="s">
        <v>74</v>
      </c>
      <c r="K46" s="21" t="s">
        <v>75</v>
      </c>
      <c r="L46" s="20" t="s">
        <v>76</v>
      </c>
    </row>
    <row r="47" spans="1:12" x14ac:dyDescent="0.25">
      <c r="H47" s="8" t="s">
        <v>55</v>
      </c>
      <c r="I47" s="18">
        <v>3</v>
      </c>
      <c r="J47" s="18">
        <f>L38/(I47*$K$47)</f>
        <v>0.85037310539999977</v>
      </c>
      <c r="K47" s="24">
        <v>21</v>
      </c>
      <c r="L47" s="18">
        <f>_xlfn.CEILING.MATH(J47)</f>
        <v>1</v>
      </c>
    </row>
    <row r="48" spans="1:12" x14ac:dyDescent="0.25">
      <c r="H48" s="8" t="s">
        <v>56</v>
      </c>
      <c r="I48" s="18">
        <v>4</v>
      </c>
      <c r="J48" s="18">
        <f t="shared" ref="J48:J50" si="2">L39/(I48*$K$47)</f>
        <v>0.63777982904999975</v>
      </c>
      <c r="K48" s="25"/>
      <c r="L48" s="18">
        <f t="shared" ref="L48:L51" si="3">_xlfn.CEILING.MATH(J48)</f>
        <v>1</v>
      </c>
    </row>
    <row r="49" spans="8:12" x14ac:dyDescent="0.25">
      <c r="H49" s="8" t="s">
        <v>57</v>
      </c>
      <c r="I49" s="18">
        <v>2</v>
      </c>
      <c r="J49" s="18">
        <f t="shared" si="2"/>
        <v>0.63777982904999975</v>
      </c>
      <c r="K49" s="25"/>
      <c r="L49" s="18">
        <f t="shared" si="3"/>
        <v>1</v>
      </c>
    </row>
    <row r="50" spans="8:12" x14ac:dyDescent="0.25">
      <c r="H50" s="8" t="s">
        <v>58</v>
      </c>
      <c r="I50" s="18">
        <v>2</v>
      </c>
      <c r="J50" s="18">
        <f t="shared" si="2"/>
        <v>0.85037310539999977</v>
      </c>
      <c r="K50" s="25"/>
      <c r="L50" s="18">
        <f t="shared" si="3"/>
        <v>1</v>
      </c>
    </row>
    <row r="51" spans="8:12" x14ac:dyDescent="0.25">
      <c r="H51" s="8" t="s">
        <v>59</v>
      </c>
      <c r="I51" s="18">
        <v>1</v>
      </c>
      <c r="J51" s="18">
        <f>L42/(I51*$K$47)</f>
        <v>0.42518655269999989</v>
      </c>
      <c r="K51" s="26"/>
      <c r="L51" s="18">
        <f t="shared" si="3"/>
        <v>1</v>
      </c>
    </row>
    <row r="52" spans="8:12" x14ac:dyDescent="0.25">
      <c r="H52" s="23" t="s">
        <v>71</v>
      </c>
      <c r="I52" s="23"/>
      <c r="J52" s="23"/>
      <c r="K52" s="23"/>
      <c r="L52" s="7">
        <f>SUM(L47:L51)</f>
        <v>5</v>
      </c>
    </row>
  </sheetData>
  <mergeCells count="40">
    <mergeCell ref="A26:B26"/>
    <mergeCell ref="A14:E14"/>
    <mergeCell ref="D8:E8"/>
    <mergeCell ref="D9:E9"/>
    <mergeCell ref="A1:F1"/>
    <mergeCell ref="C12:D12"/>
    <mergeCell ref="A11:E11"/>
    <mergeCell ref="A3:E3"/>
    <mergeCell ref="D4:E4"/>
    <mergeCell ref="D5:E5"/>
    <mergeCell ref="D6:E6"/>
    <mergeCell ref="D7:E7"/>
    <mergeCell ref="A17:E17"/>
    <mergeCell ref="H22:I22"/>
    <mergeCell ref="H23:I23"/>
    <mergeCell ref="H24:I24"/>
    <mergeCell ref="H25:I25"/>
    <mergeCell ref="A20:D20"/>
    <mergeCell ref="A23:D23"/>
    <mergeCell ref="A32:C32"/>
    <mergeCell ref="A35:C35"/>
    <mergeCell ref="A38:C38"/>
    <mergeCell ref="A41:C41"/>
    <mergeCell ref="H29:I29"/>
    <mergeCell ref="H30:I30"/>
    <mergeCell ref="H33:I33"/>
    <mergeCell ref="H34:I34"/>
    <mergeCell ref="A29:C29"/>
    <mergeCell ref="H52:K52"/>
    <mergeCell ref="K47:K51"/>
    <mergeCell ref="H7:I7"/>
    <mergeCell ref="H6:I6"/>
    <mergeCell ref="H43:K43"/>
    <mergeCell ref="H8:I8"/>
    <mergeCell ref="H10:I10"/>
    <mergeCell ref="H37:J37"/>
    <mergeCell ref="K37:L37"/>
    <mergeCell ref="H9:I9"/>
    <mergeCell ref="L9:M9"/>
    <mergeCell ref="L11:M11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2026-03-21T14:59:01Z</dcterms:modified>
</cp:coreProperties>
</file>